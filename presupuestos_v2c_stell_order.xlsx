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Cargador doble" sheetId="1" state="visible" r:id="rId1"/>
    <sheet xmlns:r="http://schemas.openxmlformats.org/officeDocument/2006/relationships" name="B - Dos carg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3" max="3"/>
    <col width="14" customWidth="1" min="4" max="4"/>
  </cols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Precio unitario (sin IVA, con margen +50%)</t>
        </is>
      </c>
      <c r="D1" s="1" t="inlineStr">
        <is>
          <t>Importe</t>
        </is>
      </c>
    </row>
    <row r="2">
      <c r="A2" t="inlineStr">
        <is>
          <t>Cargador V2C Alva doble 7,4 kW, 2 mangueras Tipo 2 de 5 m</t>
        </is>
      </c>
      <c r="B2" t="n">
        <v>1</v>
      </c>
      <c r="C2" t="n">
        <v>1807.5</v>
      </c>
      <c r="D2">
        <f>B2*C2</f>
        <v/>
      </c>
    </row>
    <row r="3">
      <c r="A3" t="inlineStr">
        <is>
          <t>Manguera 3G6 mm² 10 m + canalización y fijaciones</t>
        </is>
      </c>
      <c r="B3" t="n">
        <v>1</v>
      </c>
      <c r="C3" t="n">
        <v>120</v>
      </c>
      <c r="D3">
        <f>B3*C3</f>
        <v/>
      </c>
    </row>
    <row r="4">
      <c r="A4" t="inlineStr">
        <is>
          <t>Diferencial 2P 40A tipo A + 6mA DC</t>
        </is>
      </c>
      <c r="B4" t="n">
        <v>1</v>
      </c>
      <c r="C4" t="n">
        <v>195</v>
      </c>
      <c r="D4">
        <f>B4*C4</f>
        <v/>
      </c>
    </row>
    <row r="5">
      <c r="A5" t="inlineStr">
        <is>
          <t>Magnetotérmico 2P C40</t>
        </is>
      </c>
      <c r="B5" t="n">
        <v>1</v>
      </c>
      <c r="C5" t="n">
        <v>37.5</v>
      </c>
      <c r="D5">
        <f>B5*C5</f>
        <v/>
      </c>
    </row>
    <row r="6">
      <c r="A6" t="inlineStr">
        <is>
          <t>Protector de sobretensiones</t>
        </is>
      </c>
      <c r="B6" t="n">
        <v>1</v>
      </c>
      <c r="C6" t="n">
        <v>135</v>
      </c>
      <c r="D6">
        <f>B6*C6</f>
        <v/>
      </c>
    </row>
    <row r="7">
      <c r="A7" t="inlineStr">
        <is>
          <t>Material auxiliar</t>
        </is>
      </c>
      <c r="B7" t="n">
        <v>1</v>
      </c>
      <c r="C7" t="n">
        <v>60</v>
      </c>
      <c r="D7">
        <f>B7*C7</f>
        <v/>
      </c>
    </row>
    <row r="8">
      <c r="A8" t="inlineStr">
        <is>
          <t>Mano de obra instalación y puesta en marcha</t>
        </is>
      </c>
      <c r="B8" t="n">
        <v>1</v>
      </c>
      <c r="C8" t="n">
        <v>675</v>
      </c>
      <c r="D8">
        <f>B8*C8</f>
        <v/>
      </c>
    </row>
    <row r="9">
      <c r="A9" t="inlineStr">
        <is>
          <t>Memoria técnica / legalización / certificado</t>
        </is>
      </c>
      <c r="B9" t="n">
        <v>1</v>
      </c>
      <c r="C9" t="n">
        <v>225</v>
      </c>
      <c r="D9">
        <f>B9*C9</f>
        <v/>
      </c>
    </row>
    <row r="10">
      <c r="A10" t="inlineStr">
        <is>
          <t>Base imponible</t>
        </is>
      </c>
      <c r="B10" t="inlineStr"/>
      <c r="C10" t="inlineStr"/>
      <c r="D10">
        <f>SUM(D2:D9)</f>
        <v/>
      </c>
    </row>
    <row r="11">
      <c r="A11" t="inlineStr">
        <is>
          <t>IVA 21%</t>
        </is>
      </c>
      <c r="B11" t="inlineStr"/>
      <c r="C11" t="inlineStr"/>
      <c r="D11">
        <f>D10*0.21</f>
        <v/>
      </c>
    </row>
    <row r="12">
      <c r="A12" s="1" t="inlineStr">
        <is>
          <t>TOTAL</t>
        </is>
      </c>
      <c r="B12" t="inlineStr"/>
      <c r="C12" t="inlineStr"/>
      <c r="D12" s="1">
        <f>D10+D11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3" max="3"/>
    <col width="14" customWidth="1" min="4" max="4"/>
  </cols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Precio unitario (sin IVA, con margen +50%)</t>
        </is>
      </c>
      <c r="D1" s="1" t="inlineStr">
        <is>
          <t>Importe</t>
        </is>
      </c>
    </row>
    <row r="2">
      <c r="A2" t="inlineStr">
        <is>
          <t>Cargador V2C Trydan 7,4 kW</t>
        </is>
      </c>
      <c r="B2" t="n">
        <v>2</v>
      </c>
      <c r="C2" t="n">
        <v>969</v>
      </c>
      <c r="D2">
        <f>B2*C2</f>
        <v/>
      </c>
    </row>
    <row r="3">
      <c r="A3" t="inlineStr">
        <is>
          <t>Manguera 3G6 mm² 10 m + canalización y fijaciones</t>
        </is>
      </c>
      <c r="B3" t="n">
        <v>2</v>
      </c>
      <c r="C3" t="n">
        <v>120</v>
      </c>
      <c r="D3">
        <f>B3*C3</f>
        <v/>
      </c>
    </row>
    <row r="4">
      <c r="A4" t="inlineStr">
        <is>
          <t>Diferencial 2P 40A tipo A + 6mA DC</t>
        </is>
      </c>
      <c r="B4" t="n">
        <v>2</v>
      </c>
      <c r="C4" t="n">
        <v>195</v>
      </c>
      <c r="D4">
        <f>B4*C4</f>
        <v/>
      </c>
    </row>
    <row r="5">
      <c r="A5" t="inlineStr">
        <is>
          <t>Magnetotérmico 2P C40</t>
        </is>
      </c>
      <c r="B5" t="n">
        <v>2</v>
      </c>
      <c r="C5" t="n">
        <v>37.5</v>
      </c>
      <c r="D5">
        <f>B5*C5</f>
        <v/>
      </c>
    </row>
    <row r="6">
      <c r="A6" t="inlineStr">
        <is>
          <t>Protector de sobretensiones</t>
        </is>
      </c>
      <c r="B6" t="n">
        <v>1</v>
      </c>
      <c r="C6" t="n">
        <v>135</v>
      </c>
      <c r="D6">
        <f>B6*C6</f>
        <v/>
      </c>
    </row>
    <row r="7">
      <c r="A7" t="inlineStr">
        <is>
          <t>Material auxiliar</t>
        </is>
      </c>
      <c r="B7" t="n">
        <v>1</v>
      </c>
      <c r="C7" t="n">
        <v>90</v>
      </c>
      <c r="D7">
        <f>B7*C7</f>
        <v/>
      </c>
    </row>
    <row r="8">
      <c r="A8" t="inlineStr">
        <is>
          <t>Mano de obra instalación y puesta en marcha</t>
        </is>
      </c>
      <c r="B8" t="n">
        <v>1</v>
      </c>
      <c r="C8" t="n">
        <v>975</v>
      </c>
      <c r="D8">
        <f>B8*C8</f>
        <v/>
      </c>
    </row>
    <row r="9">
      <c r="A9" t="inlineStr">
        <is>
          <t>Memoria técnica / legalización / certificado</t>
        </is>
      </c>
      <c r="B9" t="n">
        <v>1</v>
      </c>
      <c r="C9" t="n">
        <v>225</v>
      </c>
      <c r="D9">
        <f>B9*C9</f>
        <v/>
      </c>
    </row>
    <row r="10">
      <c r="A10" t="inlineStr">
        <is>
          <t>Base imponible</t>
        </is>
      </c>
      <c r="B10" t="inlineStr"/>
      <c r="C10" t="inlineStr"/>
      <c r="D10">
        <f>SUM(D2:D9)</f>
        <v/>
      </c>
    </row>
    <row r="11">
      <c r="A11" t="inlineStr">
        <is>
          <t>IVA 21%</t>
        </is>
      </c>
      <c r="B11" t="inlineStr"/>
      <c r="C11" t="inlineStr"/>
      <c r="D11">
        <f>D10*0.21</f>
        <v/>
      </c>
    </row>
    <row r="12">
      <c r="A12" s="1" t="inlineStr">
        <is>
          <t>TOTAL</t>
        </is>
      </c>
      <c r="B12" t="inlineStr"/>
      <c r="C12" t="inlineStr"/>
      <c r="D12" s="1">
        <f>D10+D11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2026-10-13T11:57:12Z</dcterms:created>
  <dcterms:modified xmlns:dcterms="http://purl.org/dc/terms/" xmlns:xsi="http://www.w3.org/2001/XMLSchema-instance" xsi:type="dcterms:W3CDTF">2026-10-13T11:57:12Z</dcterms:modified>
</cp:coreProperties>
</file>